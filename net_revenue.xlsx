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quivos\Fermin\CV\2025_CV\LinkedIn Posts\"/>
    </mc:Choice>
  </mc:AlternateContent>
  <xr:revisionPtr revIDLastSave="0" documentId="13_ncr:1_{6E7A06FE-29FF-4320-899D-FAD864BEF110}" xr6:coauthVersionLast="47" xr6:coauthVersionMax="47" xr10:uidLastSave="{00000000-0000-0000-0000-000000000000}"/>
  <bookViews>
    <workbookView xWindow="-110" yWindow="-110" windowWidth="19420" windowHeight="10300" tabRatio="780" xr2:uid="{09B955D3-729F-42ED-803A-6CCD631F06B1}"/>
  </bookViews>
  <sheets>
    <sheet name="Net revenue (1000 MUSD)" sheetId="1" r:id="rId1"/>
    <sheet name="industry" sheetId="4" r:id="rId2"/>
    <sheet name="coatings" sheetId="5" r:id="rId3"/>
    <sheet name="personal_care" sheetId="6" r:id="rId4"/>
    <sheet name="pharma" sheetId="7" r:id="rId5"/>
    <sheet name="crop_protection" sheetId="8" r:id="rId6"/>
    <sheet name="fertilizer" sheetId="9" r:id="rId7"/>
    <sheet name="gdp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B17" i="1"/>
  <c r="C16" i="1"/>
  <c r="D16" i="1"/>
  <c r="E16" i="1"/>
  <c r="F16" i="1"/>
  <c r="G16" i="1"/>
  <c r="H16" i="1"/>
  <c r="B16" i="1"/>
</calcChain>
</file>

<file path=xl/sharedStrings.xml><?xml version="1.0" encoding="utf-8"?>
<sst xmlns="http://schemas.openxmlformats.org/spreadsheetml/2006/main" count="223" uniqueCount="46">
  <si>
    <t>year</t>
  </si>
  <si>
    <t>industry</t>
  </si>
  <si>
    <t>pharma</t>
  </si>
  <si>
    <t>personal_care</t>
  </si>
  <si>
    <t>crop_protection</t>
  </si>
  <si>
    <t>fertilizer</t>
  </si>
  <si>
    <t>coatings</t>
  </si>
  <si>
    <t>nominal_GDP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</si>
  <si>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</si>
  <si>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</si>
  <si>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</si>
  <si>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</si>
  <si>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</si>
  <si>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</si>
  <si>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</si>
  <si>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</si>
  <si>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</si>
  <si>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</si>
  <si>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</si>
  <si>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</si>
  <si>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</si>
  <si>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</si>
  <si>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</si>
  <si>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</si>
  <si>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</si>
  <si>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</si>
  <si>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</si>
  <si>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</si>
  <si>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</si>
  <si>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</si>
  <si>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</si>
  <si>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</si>
  <si>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</si>
  <si>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</si>
  <si>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nominal_GDP</t>
  </si>
  <si>
    <t>Residuals</t>
  </si>
  <si>
    <t>Predicted industry</t>
  </si>
  <si>
    <t>Predicted coatings</t>
  </si>
  <si>
    <t>Predicted personal_care</t>
  </si>
  <si>
    <t>Predicted pharma</t>
  </si>
  <si>
    <t>Predicted crop_protection</t>
  </si>
  <si>
    <t>Predicted fertilizer</t>
  </si>
  <si>
    <t>Slope</t>
  </si>
  <si>
    <t>Data source: O Desempenho da Indústria Química Brasileira 2022. ABIQUIM</t>
  </si>
  <si>
    <t>To get rest of data, go to: Data -&gt; Data Analysis -&gt; Regression</t>
  </si>
  <si>
    <t>You might need to install "Analysis Toolpak" add-in (free, from Microsoft)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</si>
</sst>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industry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'Net revenue (1000 MUSD)'!$B$2:$B$14</c:f>
              <c:numCache>
                <c:formatCode>General</c:formatCode>
                <c:ptCount val="13"/>
                <c:pt idx="0">
                  <c:v>55.1</c:v>
                </c:pt>
                <c:pt idx="1">
                  <c:v>62.8</c:v>
                </c:pt>
                <c:pt idx="2">
                  <c:v>46.9</c:v>
                </c:pt>
                <c:pt idx="3">
                  <c:v>61.2</c:v>
                </c:pt>
                <c:pt idx="4">
                  <c:v>73.8</c:v>
                </c:pt>
                <c:pt idx="5">
                  <c:v>69.5</c:v>
                </c:pt>
                <c:pt idx="6">
                  <c:v>72.5</c:v>
                </c:pt>
                <c:pt idx="7">
                  <c:v>69.7</c:v>
                </c:pt>
                <c:pt idx="8">
                  <c:v>53.5</c:v>
                </c:pt>
                <c:pt idx="9">
                  <c:v>52.4</c:v>
                </c:pt>
                <c:pt idx="10">
                  <c:v>58</c:v>
                </c:pt>
                <c:pt idx="11">
                  <c:v>61.6</c:v>
                </c:pt>
                <c:pt idx="12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E6-4C8B-852C-E9BDDEBD0616}"/>
            </c:ext>
          </c:extLst>
        </c:ser>
        <c:ser>
          <c:idx val="1"/>
          <c:order val="1"/>
          <c:tx>
            <c:v>Predicted industry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industry!$B$25:$B$37</c:f>
              <c:numCache>
                <c:formatCode>General</c:formatCode>
                <c:ptCount val="13"/>
                <c:pt idx="0">
                  <c:v>62.03626373626372</c:v>
                </c:pt>
                <c:pt idx="1">
                  <c:v>61.834065934065904</c:v>
                </c:pt>
                <c:pt idx="2">
                  <c:v>61.631868131868146</c:v>
                </c:pt>
                <c:pt idx="3">
                  <c:v>61.42967032967033</c:v>
                </c:pt>
                <c:pt idx="4">
                  <c:v>61.227472527472514</c:v>
                </c:pt>
                <c:pt idx="5">
                  <c:v>61.025274725274699</c:v>
                </c:pt>
                <c:pt idx="6">
                  <c:v>60.82307692307694</c:v>
                </c:pt>
                <c:pt idx="7">
                  <c:v>60.620879120879124</c:v>
                </c:pt>
                <c:pt idx="8">
                  <c:v>60.418681318681308</c:v>
                </c:pt>
                <c:pt idx="9">
                  <c:v>60.216483516483493</c:v>
                </c:pt>
                <c:pt idx="10">
                  <c:v>60.014285714285734</c:v>
                </c:pt>
                <c:pt idx="11">
                  <c:v>59.812087912087918</c:v>
                </c:pt>
                <c:pt idx="12">
                  <c:v>59.609890109890102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E6-4C8B-852C-E9BDDEBD0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65040"/>
        <c:axId val="449754960"/>
      </c:scatterChart>
      <c:valAx>
        <c:axId val="44976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54960"/>
        <c:crosses val="autoZero"/>
        <c:crossBetween val="midCat"/>
      </c:valAx>
      <c:valAx>
        <c:axId val="449754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industry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65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coatings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'Net revenue (1000 MUSD)'!$C$2:$C$14</c:f>
              <c:numCache>
                <c:formatCode>General</c:formatCode>
                <c:ptCount val="13"/>
                <c:pt idx="0">
                  <c:v>2.4</c:v>
                </c:pt>
                <c:pt idx="1">
                  <c:v>3</c:v>
                </c:pt>
                <c:pt idx="2">
                  <c:v>3</c:v>
                </c:pt>
                <c:pt idx="3">
                  <c:v>3.9</c:v>
                </c:pt>
                <c:pt idx="4">
                  <c:v>4.5</c:v>
                </c:pt>
                <c:pt idx="5">
                  <c:v>4.3</c:v>
                </c:pt>
                <c:pt idx="6">
                  <c:v>4.2</c:v>
                </c:pt>
                <c:pt idx="7">
                  <c:v>4.0999999999999996</c:v>
                </c:pt>
                <c:pt idx="8">
                  <c:v>3.1</c:v>
                </c:pt>
                <c:pt idx="9">
                  <c:v>3.4</c:v>
                </c:pt>
                <c:pt idx="10">
                  <c:v>4.0999999999999996</c:v>
                </c:pt>
                <c:pt idx="11">
                  <c:v>3.8</c:v>
                </c:pt>
                <c:pt idx="12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8D-4ACD-820A-AE0D67DBD5AF}"/>
            </c:ext>
          </c:extLst>
        </c:ser>
        <c:ser>
          <c:idx val="1"/>
          <c:order val="1"/>
          <c:tx>
            <c:v>Predicted coatings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coatings!$B$25:$B$37</c:f>
              <c:numCache>
                <c:formatCode>General</c:formatCode>
                <c:ptCount val="13"/>
                <c:pt idx="0">
                  <c:v>3.2681318681318601</c:v>
                </c:pt>
                <c:pt idx="1">
                  <c:v>3.3324175824175768</c:v>
                </c:pt>
                <c:pt idx="2">
                  <c:v>3.3967032967032935</c:v>
                </c:pt>
                <c:pt idx="3">
                  <c:v>3.4609890109890102</c:v>
                </c:pt>
                <c:pt idx="4">
                  <c:v>3.525274725274727</c:v>
                </c:pt>
                <c:pt idx="5">
                  <c:v>3.5895604395604437</c:v>
                </c:pt>
                <c:pt idx="6">
                  <c:v>3.6538461538461604</c:v>
                </c:pt>
                <c:pt idx="7">
                  <c:v>3.7181318681318771</c:v>
                </c:pt>
                <c:pt idx="8">
                  <c:v>3.7824175824175938</c:v>
                </c:pt>
                <c:pt idx="9">
                  <c:v>3.8467032967033106</c:v>
                </c:pt>
                <c:pt idx="10">
                  <c:v>3.9109890109890273</c:v>
                </c:pt>
                <c:pt idx="11">
                  <c:v>3.975274725274744</c:v>
                </c:pt>
                <c:pt idx="12">
                  <c:v>4.0395604395604323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8D-4ACD-820A-AE0D67DBD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62160"/>
        <c:axId val="449765040"/>
      </c:scatterChart>
      <c:valAx>
        <c:axId val="4497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65040"/>
        <c:crosses val="autoZero"/>
        <c:crossBetween val="midCat"/>
      </c:valAx>
      <c:valAx>
        <c:axId val="449765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coatings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62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personal_care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'Net revenue (1000 MUSD)'!$D$2:$D$14</c:f>
              <c:numCache>
                <c:formatCode>General</c:formatCode>
                <c:ptCount val="13"/>
                <c:pt idx="0">
                  <c:v>8.8000000000000007</c:v>
                </c:pt>
                <c:pt idx="1">
                  <c:v>10.5</c:v>
                </c:pt>
                <c:pt idx="2">
                  <c:v>11.1</c:v>
                </c:pt>
                <c:pt idx="3">
                  <c:v>13.4</c:v>
                </c:pt>
                <c:pt idx="4">
                  <c:v>15.1</c:v>
                </c:pt>
                <c:pt idx="5">
                  <c:v>14.9</c:v>
                </c:pt>
                <c:pt idx="6">
                  <c:v>14.9</c:v>
                </c:pt>
                <c:pt idx="7">
                  <c:v>15.5</c:v>
                </c:pt>
                <c:pt idx="8">
                  <c:v>10.8</c:v>
                </c:pt>
                <c:pt idx="9">
                  <c:v>9.8000000000000007</c:v>
                </c:pt>
                <c:pt idx="10">
                  <c:v>13.7</c:v>
                </c:pt>
                <c:pt idx="11">
                  <c:v>11.4</c:v>
                </c:pt>
                <c:pt idx="12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CF-4B4C-8819-10B6656F59AF}"/>
            </c:ext>
          </c:extLst>
        </c:ser>
        <c:ser>
          <c:idx val="1"/>
          <c:order val="1"/>
          <c:tx>
            <c:v>Predicted personal_care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personal_care!$B$25:$B$37</c:f>
              <c:numCache>
                <c:formatCode>General</c:formatCode>
                <c:ptCount val="13"/>
                <c:pt idx="0">
                  <c:v>12.058241758241763</c:v>
                </c:pt>
                <c:pt idx="1">
                  <c:v>12.112637362637372</c:v>
                </c:pt>
                <c:pt idx="2">
                  <c:v>12.167032967032981</c:v>
                </c:pt>
                <c:pt idx="3">
                  <c:v>12.221428571428575</c:v>
                </c:pt>
                <c:pt idx="4">
                  <c:v>12.275824175824184</c:v>
                </c:pt>
                <c:pt idx="5">
                  <c:v>12.330219780219792</c:v>
                </c:pt>
                <c:pt idx="6">
                  <c:v>12.384615384615387</c:v>
                </c:pt>
                <c:pt idx="7">
                  <c:v>12.439010989010995</c:v>
                </c:pt>
                <c:pt idx="8">
                  <c:v>12.493406593406604</c:v>
                </c:pt>
                <c:pt idx="9">
                  <c:v>12.547802197802213</c:v>
                </c:pt>
                <c:pt idx="10">
                  <c:v>12.602197802197807</c:v>
                </c:pt>
                <c:pt idx="11">
                  <c:v>12.656593406593416</c:v>
                </c:pt>
                <c:pt idx="12">
                  <c:v>12.710989010989024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CF-4B4C-8819-10B6656F5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71280"/>
        <c:axId val="449771760"/>
      </c:scatterChart>
      <c:valAx>
        <c:axId val="44977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71760"/>
        <c:crosses val="autoZero"/>
        <c:crossBetween val="midCat"/>
      </c:valAx>
      <c:valAx>
        <c:axId val="449771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personal_care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71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pharma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'Net revenue (1000 MUSD)'!$E$2:$E$14</c:f>
              <c:numCache>
                <c:formatCode>General</c:formatCode>
                <c:ptCount val="13"/>
                <c:pt idx="0">
                  <c:v>14.6</c:v>
                </c:pt>
                <c:pt idx="1">
                  <c:v>17.100000000000001</c:v>
                </c:pt>
                <c:pt idx="2">
                  <c:v>15.4</c:v>
                </c:pt>
                <c:pt idx="3">
                  <c:v>20.6</c:v>
                </c:pt>
                <c:pt idx="4">
                  <c:v>18.2</c:v>
                </c:pt>
                <c:pt idx="5">
                  <c:v>17.3</c:v>
                </c:pt>
                <c:pt idx="6">
                  <c:v>17.399999999999999</c:v>
                </c:pt>
                <c:pt idx="7">
                  <c:v>17.899999999999999</c:v>
                </c:pt>
                <c:pt idx="8">
                  <c:v>13.6</c:v>
                </c:pt>
                <c:pt idx="9">
                  <c:v>14.7</c:v>
                </c:pt>
                <c:pt idx="10">
                  <c:v>17.8</c:v>
                </c:pt>
                <c:pt idx="11">
                  <c:v>17.100000000000001</c:v>
                </c:pt>
                <c:pt idx="12">
                  <c:v>17.399999999999999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71-4CC6-ACB3-B7EA68BA3D99}"/>
            </c:ext>
          </c:extLst>
        </c:ser>
        <c:ser>
          <c:idx val="1"/>
          <c:order val="1"/>
          <c:tx>
            <c:v>Predicted pharma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pharma!$B$25:$B$37</c:f>
              <c:numCache>
                <c:formatCode>General</c:formatCode>
                <c:ptCount val="13"/>
                <c:pt idx="0">
                  <c:v>16.850549450549451</c:v>
                </c:pt>
                <c:pt idx="1">
                  <c:v>16.851098901098901</c:v>
                </c:pt>
                <c:pt idx="2">
                  <c:v>16.85164835164835</c:v>
                </c:pt>
                <c:pt idx="3">
                  <c:v>16.8521978021978</c:v>
                </c:pt>
                <c:pt idx="4">
                  <c:v>16.852747252747253</c:v>
                </c:pt>
                <c:pt idx="5">
                  <c:v>16.853296703296703</c:v>
                </c:pt>
                <c:pt idx="6">
                  <c:v>16.853846153846153</c:v>
                </c:pt>
                <c:pt idx="7">
                  <c:v>16.854395604395602</c:v>
                </c:pt>
                <c:pt idx="8">
                  <c:v>16.854945054945055</c:v>
                </c:pt>
                <c:pt idx="9">
                  <c:v>16.855494505494505</c:v>
                </c:pt>
                <c:pt idx="10">
                  <c:v>16.856043956043955</c:v>
                </c:pt>
                <c:pt idx="11">
                  <c:v>16.856593406593404</c:v>
                </c:pt>
                <c:pt idx="12">
                  <c:v>16.857142857142858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71-4CC6-ACB3-B7EA68BA3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75120"/>
        <c:axId val="449758800"/>
      </c:scatterChart>
      <c:valAx>
        <c:axId val="44977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58800"/>
        <c:crosses val="autoZero"/>
        <c:crossBetween val="midCat"/>
      </c:valAx>
      <c:valAx>
        <c:axId val="449758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pharma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75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crop_protection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'Net revenue (1000 MUSD)'!$F$2:$F$14</c:f>
              <c:numCache>
                <c:formatCode>General</c:formatCode>
                <c:ptCount val="13"/>
                <c:pt idx="0">
                  <c:v>5.4</c:v>
                </c:pt>
                <c:pt idx="1">
                  <c:v>7.1</c:v>
                </c:pt>
                <c:pt idx="2">
                  <c:v>6.6</c:v>
                </c:pt>
                <c:pt idx="3">
                  <c:v>7.3</c:v>
                </c:pt>
                <c:pt idx="4">
                  <c:v>8.5</c:v>
                </c:pt>
                <c:pt idx="5">
                  <c:v>9.6999999999999993</c:v>
                </c:pt>
                <c:pt idx="6">
                  <c:v>11.5</c:v>
                </c:pt>
                <c:pt idx="7">
                  <c:v>12.2</c:v>
                </c:pt>
                <c:pt idx="8">
                  <c:v>9.6</c:v>
                </c:pt>
                <c:pt idx="9">
                  <c:v>9.6</c:v>
                </c:pt>
                <c:pt idx="10">
                  <c:v>8.8000000000000007</c:v>
                </c:pt>
                <c:pt idx="11">
                  <c:v>10.5</c:v>
                </c:pt>
                <c:pt idx="12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60-43D5-AF0F-5D84F39DC136}"/>
            </c:ext>
          </c:extLst>
        </c:ser>
        <c:ser>
          <c:idx val="1"/>
          <c:order val="1"/>
          <c:tx>
            <c:v>Predicted crop_protection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crop_protection!$B$25:$B$37</c:f>
              <c:numCache>
                <c:formatCode>General</c:formatCode>
                <c:ptCount val="13"/>
                <c:pt idx="0">
                  <c:v>6.5395604395604323</c:v>
                </c:pt>
                <c:pt idx="1">
                  <c:v>6.9791208791208419</c:v>
                </c:pt>
                <c:pt idx="2">
                  <c:v>7.4186813186813652</c:v>
                </c:pt>
                <c:pt idx="3">
                  <c:v>7.8582417582417747</c:v>
                </c:pt>
                <c:pt idx="4">
                  <c:v>8.2978021978021843</c:v>
                </c:pt>
                <c:pt idx="5">
                  <c:v>8.7373626373625939</c:v>
                </c:pt>
                <c:pt idx="6">
                  <c:v>9.1769230769231172</c:v>
                </c:pt>
                <c:pt idx="7">
                  <c:v>9.6164835164835267</c:v>
                </c:pt>
                <c:pt idx="8">
                  <c:v>10.056043956043936</c:v>
                </c:pt>
                <c:pt idx="9">
                  <c:v>10.49560439560446</c:v>
                </c:pt>
                <c:pt idx="10">
                  <c:v>10.935164835164869</c:v>
                </c:pt>
                <c:pt idx="11">
                  <c:v>11.374725274725279</c:v>
                </c:pt>
                <c:pt idx="12">
                  <c:v>11.814285714285688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60-43D5-AF0F-5D84F39DC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76080"/>
        <c:axId val="449776560"/>
      </c:scatterChart>
      <c:valAx>
        <c:axId val="44977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76560"/>
        <c:crosses val="autoZero"/>
        <c:crossBetween val="midCat"/>
      </c:valAx>
      <c:valAx>
        <c:axId val="44977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crop_protection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76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fertilizer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'Net revenue (1000 MUSD)'!$G$2:$G$14</c:f>
              <c:numCache>
                <c:formatCode>General</c:formatCode>
                <c:ptCount val="13"/>
                <c:pt idx="0">
                  <c:v>9</c:v>
                </c:pt>
                <c:pt idx="1">
                  <c:v>14.2</c:v>
                </c:pt>
                <c:pt idx="2">
                  <c:v>9.6999999999999993</c:v>
                </c:pt>
                <c:pt idx="3">
                  <c:v>11.5</c:v>
                </c:pt>
                <c:pt idx="4">
                  <c:v>17.399999999999999</c:v>
                </c:pt>
                <c:pt idx="5">
                  <c:v>17</c:v>
                </c:pt>
                <c:pt idx="6">
                  <c:v>15.8</c:v>
                </c:pt>
                <c:pt idx="7">
                  <c:v>16.399999999999999</c:v>
                </c:pt>
                <c:pt idx="8">
                  <c:v>12.6</c:v>
                </c:pt>
                <c:pt idx="9">
                  <c:v>8.6</c:v>
                </c:pt>
                <c:pt idx="10">
                  <c:v>8.8000000000000007</c:v>
                </c:pt>
                <c:pt idx="11">
                  <c:v>10.3</c:v>
                </c:pt>
                <c:pt idx="12">
                  <c:v>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DB-4782-A6D4-E86FBE364841}"/>
            </c:ext>
          </c:extLst>
        </c:ser>
        <c:ser>
          <c:idx val="1"/>
          <c:order val="1"/>
          <c:tx>
            <c:v>Predicted fertilizer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fertilizer!$B$25:$B$37</c:f>
              <c:numCache>
                <c:formatCode>General</c:formatCode>
                <c:ptCount val="13"/>
                <c:pt idx="0">
                  <c:v>13.521978021978043</c:v>
                </c:pt>
                <c:pt idx="1">
                  <c:v>13.343956043956041</c:v>
                </c:pt>
                <c:pt idx="2">
                  <c:v>13.165934065934039</c:v>
                </c:pt>
                <c:pt idx="3">
                  <c:v>12.987912087912093</c:v>
                </c:pt>
                <c:pt idx="4">
                  <c:v>12.809890109890091</c:v>
                </c:pt>
                <c:pt idx="5">
                  <c:v>12.631868131868146</c:v>
                </c:pt>
                <c:pt idx="6">
                  <c:v>12.453846153846143</c:v>
                </c:pt>
                <c:pt idx="7">
                  <c:v>12.275824175824198</c:v>
                </c:pt>
                <c:pt idx="8">
                  <c:v>12.097802197802196</c:v>
                </c:pt>
                <c:pt idx="9">
                  <c:v>11.919780219780193</c:v>
                </c:pt>
                <c:pt idx="10">
                  <c:v>11.741758241758248</c:v>
                </c:pt>
                <c:pt idx="11">
                  <c:v>11.563736263736246</c:v>
                </c:pt>
                <c:pt idx="12">
                  <c:v>11.3857142857143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DB-4782-A6D4-E86FBE364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77040"/>
        <c:axId val="449761200"/>
      </c:scatterChart>
      <c:valAx>
        <c:axId val="44977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61200"/>
        <c:crosses val="autoZero"/>
        <c:crossBetween val="midCat"/>
      </c:valAx>
      <c:valAx>
        <c:axId val="449761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fertilizer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77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nominal_GDP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'Net revenue (1000 MUSD)'!$H$2:$H$14</c:f>
              <c:numCache>
                <c:formatCode>General</c:formatCode>
                <c:ptCount val="13"/>
                <c:pt idx="0">
                  <c:v>1397</c:v>
                </c:pt>
                <c:pt idx="1">
                  <c:v>1696</c:v>
                </c:pt>
                <c:pt idx="2">
                  <c:v>1667</c:v>
                </c:pt>
                <c:pt idx="3">
                  <c:v>2209</c:v>
                </c:pt>
                <c:pt idx="4">
                  <c:v>2616</c:v>
                </c:pt>
                <c:pt idx="5">
                  <c:v>2465</c:v>
                </c:pt>
                <c:pt idx="6">
                  <c:v>2473</c:v>
                </c:pt>
                <c:pt idx="7">
                  <c:v>2456</c:v>
                </c:pt>
                <c:pt idx="8">
                  <c:v>1802</c:v>
                </c:pt>
                <c:pt idx="9">
                  <c:v>1796</c:v>
                </c:pt>
                <c:pt idx="10">
                  <c:v>2064</c:v>
                </c:pt>
                <c:pt idx="11">
                  <c:v>1917</c:v>
                </c:pt>
                <c:pt idx="12">
                  <c:v>1873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26-420E-B46B-4C25F02F6618}"/>
            </c:ext>
          </c:extLst>
        </c:ser>
        <c:ser>
          <c:idx val="1"/>
          <c:order val="1"/>
          <c:tx>
            <c:v>Predicted nominal_GDP</c:v>
          </c:tx>
          <c:spPr>
            <a:ln w="19050">
              <a:noFill/>
            </a:ln>
          </c:spPr>
          <c:xVal>
            <c:numRef>
              <c:f>'Net revenue (1000 MUSD)'!$A$2:$A$14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xVal>
          <c:yVal>
            <c:numRef>
              <c:f>gdp!$B$25:$B$37</c:f>
              <c:numCache>
                <c:formatCode>General</c:formatCode>
                <c:ptCount val="13"/>
                <c:pt idx="0">
                  <c:v>1945.0329670329666</c:v>
                </c:pt>
                <c:pt idx="1">
                  <c:v>1959.7197802197807</c:v>
                </c:pt>
                <c:pt idx="2">
                  <c:v>1974.4065934065948</c:v>
                </c:pt>
                <c:pt idx="3">
                  <c:v>1989.0934065934089</c:v>
                </c:pt>
                <c:pt idx="4">
                  <c:v>2003.7802197802193</c:v>
                </c:pt>
                <c:pt idx="5">
                  <c:v>2018.4670329670334</c:v>
                </c:pt>
                <c:pt idx="6">
                  <c:v>2033.1538461538476</c:v>
                </c:pt>
                <c:pt idx="7">
                  <c:v>2047.8406593406617</c:v>
                </c:pt>
                <c:pt idx="8">
                  <c:v>2062.5274725274721</c:v>
                </c:pt>
                <c:pt idx="9">
                  <c:v>2077.2142857142862</c:v>
                </c:pt>
                <c:pt idx="10">
                  <c:v>2091.9010989011003</c:v>
                </c:pt>
                <c:pt idx="11">
                  <c:v>2106.5879120879144</c:v>
                </c:pt>
                <c:pt idx="12">
                  <c:v>2121.2747252747249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26-420E-B46B-4C25F02F6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58320"/>
        <c:axId val="449766000"/>
      </c:scatterChart>
      <c:valAx>
        <c:axId val="44975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66000"/>
        <c:crosses val="autoZero"/>
        <c:crossBetween val="midCat"/>
      </c:valAx>
      <c:valAx>
        <c:axId val="449766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nominal_GDP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7583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E9B40-4CC7-CD30-4543-6D7E2D130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23FD6-5CD2-44E6-BBBC-6B28CA567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35C67-CC76-2169-2721-971613E27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FA412-BC6A-C42D-EF0E-D70AF6C98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54F25-4469-F9AF-694E-2FF62D16E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BE867-6E42-55DB-2F38-79F2BE122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18</xdr:col>
      <xdr:colOff>476250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76C66-30C7-3918-3EC9-1B54F5886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05D4-A282-4FBA-92C0-0777A8794C9D}">
  <dimension ref="A1:J20"/>
  <sheetViews>
    <sheetView tabSelected="1" workbookViewId="0">
      <selection activeCell="L23" sqref="L23"/>
    </sheetView>
  </sheetViews>
  <sheetFormatPr defaultRowHeight="14.5" x14ac:dyDescent="0.35"/>
  <cols>
    <col min="8" max="8" width="12.1796875" bestFit="1" customWidth="1"/>
  </cols>
  <sheetData>
    <row r="1" spans="1:8" x14ac:dyDescent="0.35">
      <c r="A1" t="s">
        <v>0</v>
      </c>
      <c r="B1" t="s">
        <v>1</v>
      </c>
      <c r="C1" t="s">
        <v>6</v>
      </c>
      <c r="D1" t="s">
        <v>3</v>
      </c>
      <c r="E1" t="s">
        <v>2</v>
      </c>
      <c r="F1" t="s">
        <v>4</v>
      </c>
      <c r="G1" t="s">
        <v>5</v>
      </c>
      <c r="H1" t="s">
        <v>7</v>
      </c>
    </row>
    <row r="2" spans="1:8" x14ac:dyDescent="0.35">
      <c r="A2">
        <v>2007</v>
      </c>
      <c r="B2">
        <v>55.1</v>
      </c>
      <c r="C2">
        <v>2.4</v>
      </c>
      <c r="D2">
        <v>8.8000000000000007</v>
      </c>
      <c r="E2">
        <v>14.6</v>
      </c>
      <c r="F2">
        <v>5.4</v>
      </c>
      <c r="G2">
        <v>9</v>
      </c>
      <c r="H2">
        <v>1397</v>
      </c>
    </row>
    <row r="3" spans="1:8" x14ac:dyDescent="0.35">
      <c r="A3">
        <v>2008</v>
      </c>
      <c r="B3">
        <v>62.8</v>
      </c>
      <c r="C3">
        <v>3</v>
      </c>
      <c r="D3">
        <v>10.5</v>
      </c>
      <c r="E3">
        <v>17.100000000000001</v>
      </c>
      <c r="F3">
        <v>7.1</v>
      </c>
      <c r="G3">
        <v>14.2</v>
      </c>
      <c r="H3">
        <v>1696</v>
      </c>
    </row>
    <row r="4" spans="1:8" x14ac:dyDescent="0.35">
      <c r="A4">
        <v>2009</v>
      </c>
      <c r="B4">
        <v>46.9</v>
      </c>
      <c r="C4">
        <v>3</v>
      </c>
      <c r="D4">
        <v>11.1</v>
      </c>
      <c r="E4">
        <v>15.4</v>
      </c>
      <c r="F4">
        <v>6.6</v>
      </c>
      <c r="G4">
        <v>9.6999999999999993</v>
      </c>
      <c r="H4">
        <v>1667</v>
      </c>
    </row>
    <row r="5" spans="1:8" x14ac:dyDescent="0.35">
      <c r="A5">
        <v>2010</v>
      </c>
      <c r="B5">
        <v>61.2</v>
      </c>
      <c r="C5">
        <v>3.9</v>
      </c>
      <c r="D5">
        <v>13.4</v>
      </c>
      <c r="E5">
        <v>20.6</v>
      </c>
      <c r="F5">
        <v>7.3</v>
      </c>
      <c r="G5">
        <v>11.5</v>
      </c>
      <c r="H5">
        <v>2209</v>
      </c>
    </row>
    <row r="6" spans="1:8" x14ac:dyDescent="0.35">
      <c r="A6">
        <v>2011</v>
      </c>
      <c r="B6">
        <v>73.8</v>
      </c>
      <c r="C6">
        <v>4.5</v>
      </c>
      <c r="D6">
        <v>15.1</v>
      </c>
      <c r="E6">
        <v>18.2</v>
      </c>
      <c r="F6">
        <v>8.5</v>
      </c>
      <c r="G6">
        <v>17.399999999999999</v>
      </c>
      <c r="H6">
        <v>2616</v>
      </c>
    </row>
    <row r="7" spans="1:8" x14ac:dyDescent="0.35">
      <c r="A7">
        <v>2012</v>
      </c>
      <c r="B7">
        <v>69.5</v>
      </c>
      <c r="C7">
        <v>4.3</v>
      </c>
      <c r="D7">
        <v>14.9</v>
      </c>
      <c r="E7">
        <v>17.3</v>
      </c>
      <c r="F7">
        <v>9.6999999999999993</v>
      </c>
      <c r="G7">
        <v>17</v>
      </c>
      <c r="H7">
        <v>2465</v>
      </c>
    </row>
    <row r="8" spans="1:8" x14ac:dyDescent="0.35">
      <c r="A8">
        <v>2013</v>
      </c>
      <c r="B8">
        <v>72.5</v>
      </c>
      <c r="C8">
        <v>4.2</v>
      </c>
      <c r="D8">
        <v>14.9</v>
      </c>
      <c r="E8">
        <v>17.399999999999999</v>
      </c>
      <c r="F8">
        <v>11.5</v>
      </c>
      <c r="G8">
        <v>15.8</v>
      </c>
      <c r="H8">
        <v>2473</v>
      </c>
    </row>
    <row r="9" spans="1:8" x14ac:dyDescent="0.35">
      <c r="A9">
        <v>2014</v>
      </c>
      <c r="B9">
        <v>69.7</v>
      </c>
      <c r="C9">
        <v>4.0999999999999996</v>
      </c>
      <c r="D9">
        <v>15.5</v>
      </c>
      <c r="E9">
        <v>17.899999999999999</v>
      </c>
      <c r="F9">
        <v>12.2</v>
      </c>
      <c r="G9">
        <v>16.399999999999999</v>
      </c>
      <c r="H9">
        <v>2456</v>
      </c>
    </row>
    <row r="10" spans="1:8" x14ac:dyDescent="0.35">
      <c r="A10">
        <v>2015</v>
      </c>
      <c r="B10">
        <v>53.5</v>
      </c>
      <c r="C10">
        <v>3.1</v>
      </c>
      <c r="D10">
        <v>10.8</v>
      </c>
      <c r="E10">
        <v>13.6</v>
      </c>
      <c r="F10">
        <v>9.6</v>
      </c>
      <c r="G10">
        <v>12.6</v>
      </c>
      <c r="H10">
        <v>1802</v>
      </c>
    </row>
    <row r="11" spans="1:8" x14ac:dyDescent="0.35">
      <c r="A11">
        <v>2016</v>
      </c>
      <c r="B11">
        <v>52.4</v>
      </c>
      <c r="C11">
        <v>3.4</v>
      </c>
      <c r="D11">
        <v>9.8000000000000007</v>
      </c>
      <c r="E11">
        <v>14.7</v>
      </c>
      <c r="F11">
        <v>9.6</v>
      </c>
      <c r="G11">
        <v>8.6</v>
      </c>
      <c r="H11">
        <v>1796</v>
      </c>
    </row>
    <row r="12" spans="1:8" x14ac:dyDescent="0.35">
      <c r="A12">
        <v>2017</v>
      </c>
      <c r="B12">
        <v>58</v>
      </c>
      <c r="C12">
        <v>4.0999999999999996</v>
      </c>
      <c r="D12">
        <v>13.7</v>
      </c>
      <c r="E12">
        <v>17.8</v>
      </c>
      <c r="F12">
        <v>8.8000000000000007</v>
      </c>
      <c r="G12">
        <v>8.8000000000000007</v>
      </c>
      <c r="H12">
        <v>2064</v>
      </c>
    </row>
    <row r="13" spans="1:8" x14ac:dyDescent="0.35">
      <c r="A13">
        <v>2018</v>
      </c>
      <c r="B13">
        <v>61.6</v>
      </c>
      <c r="C13">
        <v>3.8</v>
      </c>
      <c r="D13">
        <v>11.4</v>
      </c>
      <c r="E13">
        <v>17.100000000000001</v>
      </c>
      <c r="F13">
        <v>10.5</v>
      </c>
      <c r="G13">
        <v>10.3</v>
      </c>
      <c r="H13">
        <v>1917</v>
      </c>
    </row>
    <row r="14" spans="1:8" x14ac:dyDescent="0.35">
      <c r="A14">
        <v>2019</v>
      </c>
      <c r="B14">
        <v>53.7</v>
      </c>
      <c r="C14">
        <v>3.7</v>
      </c>
      <c r="D14">
        <v>11.1</v>
      </c>
      <c r="E14">
        <v>17.399999999999999</v>
      </c>
      <c r="F14">
        <v>12.5</v>
      </c>
      <c r="G14">
        <v>10.6</v>
      </c>
      <c r="H14">
        <v>1873</v>
      </c>
    </row>
    <row r="16" spans="1:8" x14ac:dyDescent="0.35">
      <c r="A16" t="s">
        <v>42</v>
      </c>
      <c r="B16">
        <f>SLOPE(B2:B14,$A$2:$A$14)</f>
        <v>-0.20219780219780203</v>
      </c>
      <c r="C16">
        <f t="shared" ref="C16:H16" si="0">SLOPE(C2:C14,$A$2:$A$14)</f>
        <v>6.4285714285714279E-2</v>
      </c>
      <c r="D16">
        <f t="shared" si="0"/>
        <v>5.4395604395604411E-2</v>
      </c>
      <c r="E16">
        <f t="shared" si="0"/>
        <v>5.4945054945047919E-4</v>
      </c>
      <c r="F16">
        <f t="shared" si="0"/>
        <v>0.43956043956043955</v>
      </c>
      <c r="G16">
        <f t="shared" si="0"/>
        <v>-0.17802197802197797</v>
      </c>
      <c r="H16">
        <f t="shared" si="0"/>
        <v>14.686813186813199</v>
      </c>
    </row>
    <row r="17" spans="1:10" x14ac:dyDescent="0.35">
      <c r="A17" t="s">
        <v>19</v>
      </c>
      <c r="B17">
        <f>INTERCEPT(B2:B14,$A$2:$A$14)</f>
        <v>467.84725274725241</v>
      </c>
      <c r="C17">
        <f t="shared" ref="C17:H17" si="1">INTERCEPT(C2:C14,$A$2:$A$14)</f>
        <v>-125.75329670329668</v>
      </c>
      <c r="D17">
        <f t="shared" si="1"/>
        <v>-97.113736263736286</v>
      </c>
      <c r="E17">
        <f t="shared" si="1"/>
        <v>15.747802197802338</v>
      </c>
      <c r="F17">
        <f t="shared" si="1"/>
        <v>-875.65824175824173</v>
      </c>
      <c r="G17">
        <f t="shared" si="1"/>
        <v>370.8120879120878</v>
      </c>
      <c r="H17">
        <f t="shared" si="1"/>
        <v>-27531.401098901122</v>
      </c>
    </row>
    <row r="18" spans="1:10" x14ac:dyDescent="0.35">
      <c r="J18" t="s">
        <v>43</v>
      </c>
    </row>
    <row r="19" spans="1:10" x14ac:dyDescent="0.35">
      <c r="J19" t="s">
        <v>44</v>
      </c>
    </row>
    <row r="20" spans="1:10" x14ac:dyDescent="0.35">
      <c r="J2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6152-0446-490E-979D-A020896D9BEA}">
  <dimension ref="A1:I37"/>
  <sheetViews>
    <sheetView workbookViewId="0">
      <selection activeCell="I16" sqref="I16"/>
    </sheetView>
  </sheetViews>
  <sheetFormatPr defaultRowHeight="14.5" x14ac:dyDescent="0.35"/>
  <cols>
    <col min="1" max="1" width="17.26953125" bestFit="1" customWidth="1"/>
  </cols>
  <sheetData>
    <row r="1" spans="1:9" x14ac:dyDescent="0.35">
      <c r="A1" t="s">
        <v>8</v>
      </c>
    </row>
    <row r="2" spans="1:9" ht="15" thickBot="1" x14ac:dyDescent="0.4"/>
    <row r="3" spans="1:9" x14ac:dyDescent="0.35">
      <c r="A3" s="3" t="s">
        <v>9</v>
      </c>
      <c r="B3" s="3"/>
    </row>
    <row r="4" spans="1:9" x14ac:dyDescent="0.35">
      <c r="A4" t="s">
        <v>10</v>
      </c>
      <c r="B4">
        <v>9.2301708186329351E-2</v>
      </c>
    </row>
    <row r="5" spans="1:9" x14ac:dyDescent="0.35">
      <c r="A5" t="s">
        <v>11</v>
      </c>
      <c r="B5">
        <v>8.5196053341142983E-3</v>
      </c>
    </row>
    <row r="6" spans="1:9" x14ac:dyDescent="0.35">
      <c r="A6" t="s">
        <v>12</v>
      </c>
      <c r="B6">
        <v>-8.1614975999148034E-2</v>
      </c>
    </row>
    <row r="7" spans="1:9" x14ac:dyDescent="0.35">
      <c r="A7" t="s">
        <v>13</v>
      </c>
      <c r="B7">
        <v>8.8725429264680358</v>
      </c>
    </row>
    <row r="8" spans="1:9" ht="15" thickBot="1" x14ac:dyDescent="0.4">
      <c r="A8" s="1" t="s">
        <v>14</v>
      </c>
      <c r="B8" s="1">
        <v>13</v>
      </c>
    </row>
    <row r="10" spans="1:9" ht="15" thickBot="1" x14ac:dyDescent="0.4">
      <c r="A10" t="s">
        <v>15</v>
      </c>
    </row>
    <row r="11" spans="1:9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5">
      <c r="A12" t="s">
        <v>16</v>
      </c>
      <c r="B12">
        <v>1</v>
      </c>
      <c r="C12">
        <v>7.4408791208790035</v>
      </c>
      <c r="D12">
        <v>7.4408791208790035</v>
      </c>
      <c r="E12">
        <v>9.452093977797521E-2</v>
      </c>
      <c r="F12">
        <v>0.76424901475708318</v>
      </c>
    </row>
    <row r="13" spans="1:9" x14ac:dyDescent="0.35">
      <c r="A13" t="s">
        <v>17</v>
      </c>
      <c r="B13">
        <v>11</v>
      </c>
      <c r="C13">
        <v>865.94219780219782</v>
      </c>
      <c r="D13">
        <v>78.722017982017988</v>
      </c>
    </row>
    <row r="14" spans="1:9" ht="15" thickBot="1" x14ac:dyDescent="0.4">
      <c r="A14" s="1" t="s">
        <v>18</v>
      </c>
      <c r="B14" s="1">
        <v>12</v>
      </c>
      <c r="C14" s="1">
        <v>873.38307692307683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467.8472527472527</v>
      </c>
      <c r="C17">
        <v>1323.905359554562</v>
      </c>
      <c r="D17">
        <v>0.35338421237652778</v>
      </c>
      <c r="E17">
        <v>0.73047989254678036</v>
      </c>
      <c r="F17">
        <v>-2446.0487969981232</v>
      </c>
      <c r="G17">
        <v>3381.7433024926286</v>
      </c>
      <c r="H17">
        <v>-2446.0487969981232</v>
      </c>
      <c r="I17">
        <v>3381.7433024926286</v>
      </c>
    </row>
    <row r="18" spans="1:9" ht="15" thickBot="1" x14ac:dyDescent="0.4">
      <c r="A18" s="1" t="s">
        <v>0</v>
      </c>
      <c r="B18" s="1">
        <v>-0.20219780219780217</v>
      </c>
      <c r="C18" s="1">
        <v>0.65767663812907184</v>
      </c>
      <c r="D18" s="1">
        <v>-0.3074425796437063</v>
      </c>
      <c r="E18" s="1">
        <v>0.7642490147570814</v>
      </c>
      <c r="F18" s="1">
        <v>-1.6497343228588479</v>
      </c>
      <c r="G18" s="1">
        <v>1.2453387184632436</v>
      </c>
      <c r="H18" s="1">
        <v>-1.6497343228588479</v>
      </c>
      <c r="I18" s="1">
        <v>1.2453387184632436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2" t="s">
        <v>33</v>
      </c>
      <c r="B24" s="2" t="s">
        <v>36</v>
      </c>
      <c r="C24" s="2" t="s">
        <v>35</v>
      </c>
    </row>
    <row r="25" spans="1:9" x14ac:dyDescent="0.35">
      <c r="A25">
        <v>1</v>
      </c>
      <c r="B25">
        <v>62.03626373626372</v>
      </c>
      <c r="C25">
        <v>-6.9362637362637187</v>
      </c>
    </row>
    <row r="26" spans="1:9" x14ac:dyDescent="0.35">
      <c r="A26">
        <v>2</v>
      </c>
      <c r="B26">
        <v>61.834065934065904</v>
      </c>
      <c r="C26">
        <v>0.9659340659340927</v>
      </c>
    </row>
    <row r="27" spans="1:9" x14ac:dyDescent="0.35">
      <c r="A27">
        <v>3</v>
      </c>
      <c r="B27">
        <v>61.631868131868146</v>
      </c>
      <c r="C27">
        <v>-14.731868131868147</v>
      </c>
    </row>
    <row r="28" spans="1:9" x14ac:dyDescent="0.35">
      <c r="A28">
        <v>4</v>
      </c>
      <c r="B28">
        <v>61.42967032967033</v>
      </c>
      <c r="C28">
        <v>-0.22967032967032708</v>
      </c>
    </row>
    <row r="29" spans="1:9" x14ac:dyDescent="0.35">
      <c r="A29">
        <v>5</v>
      </c>
      <c r="B29">
        <v>61.227472527472514</v>
      </c>
      <c r="C29">
        <v>12.572527472527483</v>
      </c>
    </row>
    <row r="30" spans="1:9" x14ac:dyDescent="0.35">
      <c r="A30">
        <v>6</v>
      </c>
      <c r="B30">
        <v>61.025274725274699</v>
      </c>
      <c r="C30">
        <v>8.4747252747253015</v>
      </c>
    </row>
    <row r="31" spans="1:9" x14ac:dyDescent="0.35">
      <c r="A31">
        <v>7</v>
      </c>
      <c r="B31">
        <v>60.82307692307694</v>
      </c>
      <c r="C31">
        <v>11.67692307692306</v>
      </c>
    </row>
    <row r="32" spans="1:9" x14ac:dyDescent="0.35">
      <c r="A32">
        <v>8</v>
      </c>
      <c r="B32">
        <v>60.620879120879124</v>
      </c>
      <c r="C32">
        <v>9.0791208791208788</v>
      </c>
    </row>
    <row r="33" spans="1:3" x14ac:dyDescent="0.35">
      <c r="A33">
        <v>9</v>
      </c>
      <c r="B33">
        <v>60.418681318681308</v>
      </c>
      <c r="C33">
        <v>-6.9186813186813083</v>
      </c>
    </row>
    <row r="34" spans="1:3" x14ac:dyDescent="0.35">
      <c r="A34">
        <v>10</v>
      </c>
      <c r="B34">
        <v>60.216483516483493</v>
      </c>
      <c r="C34">
        <v>-7.816483516483494</v>
      </c>
    </row>
    <row r="35" spans="1:3" x14ac:dyDescent="0.35">
      <c r="A35">
        <v>11</v>
      </c>
      <c r="B35">
        <v>60.014285714285734</v>
      </c>
      <c r="C35">
        <v>-2.0142857142857338</v>
      </c>
    </row>
    <row r="36" spans="1:3" x14ac:dyDescent="0.35">
      <c r="A36">
        <v>12</v>
      </c>
      <c r="B36">
        <v>59.812087912087918</v>
      </c>
      <c r="C36">
        <v>1.7879120879120833</v>
      </c>
    </row>
    <row r="37" spans="1:3" ht="15" thickBot="1" x14ac:dyDescent="0.4">
      <c r="A37" s="1">
        <v>13</v>
      </c>
      <c r="B37" s="1">
        <v>59.609890109890102</v>
      </c>
      <c r="C37" s="1">
        <v>-5.9098901098900996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DF3F-319D-4E96-9475-479D44A53D22}">
  <dimension ref="A1:I37"/>
  <sheetViews>
    <sheetView workbookViewId="0">
      <selection sqref="A1:I37"/>
    </sheetView>
  </sheetViews>
  <sheetFormatPr defaultRowHeight="14.5" x14ac:dyDescent="0.35"/>
  <sheetData>
    <row r="1" spans="1:9" x14ac:dyDescent="0.35">
      <c r="A1" t="s">
        <v>8</v>
      </c>
    </row>
    <row r="2" spans="1:9" ht="15" thickBot="1" x14ac:dyDescent="0.4"/>
    <row r="3" spans="1:9" x14ac:dyDescent="0.35">
      <c r="A3" s="3" t="s">
        <v>9</v>
      </c>
      <c r="B3" s="3"/>
    </row>
    <row r="4" spans="1:9" x14ac:dyDescent="0.35">
      <c r="A4" t="s">
        <v>10</v>
      </c>
      <c r="B4">
        <v>0.39951523724836768</v>
      </c>
    </row>
    <row r="5" spans="1:9" x14ac:dyDescent="0.35">
      <c r="A5" t="s">
        <v>11</v>
      </c>
      <c r="B5">
        <v>0.15961242479361953</v>
      </c>
    </row>
    <row r="6" spans="1:9" x14ac:dyDescent="0.35">
      <c r="A6" t="s">
        <v>12</v>
      </c>
      <c r="B6">
        <v>8.3213554320312216E-2</v>
      </c>
    </row>
    <row r="7" spans="1:9" x14ac:dyDescent="0.35">
      <c r="A7" t="s">
        <v>13</v>
      </c>
      <c r="B7">
        <v>0.60001248738254198</v>
      </c>
    </row>
    <row r="8" spans="1:9" ht="15" thickBot="1" x14ac:dyDescent="0.4">
      <c r="A8" s="1" t="s">
        <v>14</v>
      </c>
      <c r="B8" s="1">
        <v>13</v>
      </c>
    </row>
    <row r="10" spans="1:9" ht="15" thickBot="1" x14ac:dyDescent="0.4">
      <c r="A10" t="s">
        <v>15</v>
      </c>
    </row>
    <row r="11" spans="1:9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5">
      <c r="A12" t="s">
        <v>16</v>
      </c>
      <c r="B12">
        <v>1</v>
      </c>
      <c r="C12">
        <v>0.75214285714285634</v>
      </c>
      <c r="D12">
        <v>0.75214285714285634</v>
      </c>
      <c r="E12">
        <v>2.0891987513007257</v>
      </c>
      <c r="F12">
        <v>0.17622439330764814</v>
      </c>
    </row>
    <row r="13" spans="1:9" x14ac:dyDescent="0.35">
      <c r="A13" t="s">
        <v>17</v>
      </c>
      <c r="B13">
        <v>11</v>
      </c>
      <c r="C13">
        <v>3.9601648351648358</v>
      </c>
      <c r="D13">
        <v>0.36001498501498508</v>
      </c>
    </row>
    <row r="14" spans="1:9" ht="15" thickBot="1" x14ac:dyDescent="0.4">
      <c r="A14" s="1" t="s">
        <v>18</v>
      </c>
      <c r="B14" s="1">
        <v>12</v>
      </c>
      <c r="C14" s="1">
        <v>4.7123076923076921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-125.75329670329674</v>
      </c>
      <c r="C17">
        <v>89.530110412396553</v>
      </c>
      <c r="D17">
        <v>-1.4045922218128375</v>
      </c>
      <c r="E17">
        <v>0.1877453571794849</v>
      </c>
      <c r="F17">
        <v>-322.80774110234745</v>
      </c>
      <c r="G17">
        <v>71.30114769575394</v>
      </c>
      <c r="H17">
        <v>-322.80774110234745</v>
      </c>
      <c r="I17">
        <v>71.30114769575394</v>
      </c>
    </row>
    <row r="18" spans="1:9" ht="15" thickBot="1" x14ac:dyDescent="0.4">
      <c r="A18" s="1" t="s">
        <v>0</v>
      </c>
      <c r="B18" s="1">
        <v>6.4285714285714307E-2</v>
      </c>
      <c r="C18" s="1">
        <v>4.4475884626043682E-2</v>
      </c>
      <c r="D18" s="1">
        <v>1.445406085257956</v>
      </c>
      <c r="E18" s="1">
        <v>0.17622439330764753</v>
      </c>
      <c r="F18" s="1">
        <v>-3.360504775815569E-2</v>
      </c>
      <c r="G18" s="1">
        <v>0.16217647632958432</v>
      </c>
      <c r="H18" s="1">
        <v>-3.360504775815569E-2</v>
      </c>
      <c r="I18" s="1">
        <v>0.16217647632958432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2" t="s">
        <v>33</v>
      </c>
      <c r="B24" s="2" t="s">
        <v>37</v>
      </c>
      <c r="C24" s="2" t="s">
        <v>35</v>
      </c>
    </row>
    <row r="25" spans="1:9" x14ac:dyDescent="0.35">
      <c r="A25">
        <v>1</v>
      </c>
      <c r="B25">
        <v>3.2681318681318601</v>
      </c>
      <c r="C25">
        <v>-0.86813186813186016</v>
      </c>
    </row>
    <row r="26" spans="1:9" x14ac:dyDescent="0.35">
      <c r="A26">
        <v>2</v>
      </c>
      <c r="B26">
        <v>3.3324175824175768</v>
      </c>
      <c r="C26">
        <v>-0.3324175824175768</v>
      </c>
    </row>
    <row r="27" spans="1:9" x14ac:dyDescent="0.35">
      <c r="A27">
        <v>3</v>
      </c>
      <c r="B27">
        <v>3.3967032967032935</v>
      </c>
      <c r="C27">
        <v>-0.39670329670329352</v>
      </c>
    </row>
    <row r="28" spans="1:9" x14ac:dyDescent="0.35">
      <c r="A28">
        <v>4</v>
      </c>
      <c r="B28">
        <v>3.4609890109890102</v>
      </c>
      <c r="C28">
        <v>0.43901098901098967</v>
      </c>
    </row>
    <row r="29" spans="1:9" x14ac:dyDescent="0.35">
      <c r="A29">
        <v>5</v>
      </c>
      <c r="B29">
        <v>3.525274725274727</v>
      </c>
      <c r="C29">
        <v>0.97472527472527304</v>
      </c>
    </row>
    <row r="30" spans="1:9" x14ac:dyDescent="0.35">
      <c r="A30">
        <v>6</v>
      </c>
      <c r="B30">
        <v>3.5895604395604437</v>
      </c>
      <c r="C30">
        <v>0.71043956043955614</v>
      </c>
    </row>
    <row r="31" spans="1:9" x14ac:dyDescent="0.35">
      <c r="A31">
        <v>7</v>
      </c>
      <c r="B31">
        <v>3.6538461538461604</v>
      </c>
      <c r="C31">
        <v>0.54615384615383977</v>
      </c>
    </row>
    <row r="32" spans="1:9" x14ac:dyDescent="0.35">
      <c r="A32">
        <v>8</v>
      </c>
      <c r="B32">
        <v>3.7181318681318771</v>
      </c>
      <c r="C32">
        <v>0.38186813186812252</v>
      </c>
    </row>
    <row r="33" spans="1:3" x14ac:dyDescent="0.35">
      <c r="A33">
        <v>9</v>
      </c>
      <c r="B33">
        <v>3.7824175824175938</v>
      </c>
      <c r="C33">
        <v>-0.68241758241759376</v>
      </c>
    </row>
    <row r="34" spans="1:3" x14ac:dyDescent="0.35">
      <c r="A34">
        <v>10</v>
      </c>
      <c r="B34">
        <v>3.8467032967033106</v>
      </c>
      <c r="C34">
        <v>-0.44670329670331066</v>
      </c>
    </row>
    <row r="35" spans="1:3" x14ac:dyDescent="0.35">
      <c r="A35">
        <v>11</v>
      </c>
      <c r="B35">
        <v>3.9109890109890273</v>
      </c>
      <c r="C35">
        <v>0.18901098901097235</v>
      </c>
    </row>
    <row r="36" spans="1:3" x14ac:dyDescent="0.35">
      <c r="A36">
        <v>12</v>
      </c>
      <c r="B36">
        <v>3.975274725274744</v>
      </c>
      <c r="C36">
        <v>-0.17527472527474419</v>
      </c>
    </row>
    <row r="37" spans="1:3" ht="15" thickBot="1" x14ac:dyDescent="0.4">
      <c r="A37" s="1">
        <v>13</v>
      </c>
      <c r="B37" s="1">
        <v>4.0395604395604323</v>
      </c>
      <c r="C37" s="1">
        <v>-0.33956043956043214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0915-8AA8-43A1-A45C-8D194AC214ED}">
  <dimension ref="A1:I37"/>
  <sheetViews>
    <sheetView workbookViewId="0">
      <selection sqref="A1:I37"/>
    </sheetView>
  </sheetViews>
  <sheetFormatPr defaultRowHeight="14.5" x14ac:dyDescent="0.35"/>
  <sheetData>
    <row r="1" spans="1:9" x14ac:dyDescent="0.35">
      <c r="A1" t="s">
        <v>8</v>
      </c>
    </row>
    <row r="2" spans="1:9" ht="15" thickBot="1" x14ac:dyDescent="0.4"/>
    <row r="3" spans="1:9" x14ac:dyDescent="0.35">
      <c r="A3" s="3" t="s">
        <v>9</v>
      </c>
      <c r="B3" s="3"/>
    </row>
    <row r="4" spans="1:9" x14ac:dyDescent="0.35">
      <c r="A4" t="s">
        <v>10</v>
      </c>
      <c r="B4">
        <v>9.2930262079302758E-2</v>
      </c>
    </row>
    <row r="5" spans="1:9" x14ac:dyDescent="0.35">
      <c r="A5" t="s">
        <v>11</v>
      </c>
      <c r="B5">
        <v>8.6360336101278957E-3</v>
      </c>
    </row>
    <row r="6" spans="1:9" x14ac:dyDescent="0.35">
      <c r="A6" t="s">
        <v>12</v>
      </c>
      <c r="B6">
        <v>-8.148796333440593E-2</v>
      </c>
    </row>
    <row r="7" spans="1:9" x14ac:dyDescent="0.35">
      <c r="A7" t="s">
        <v>13</v>
      </c>
      <c r="B7">
        <v>2.370623366301603</v>
      </c>
    </row>
    <row r="8" spans="1:9" ht="15" thickBot="1" x14ac:dyDescent="0.4">
      <c r="A8" s="1" t="s">
        <v>14</v>
      </c>
      <c r="B8" s="1">
        <v>13</v>
      </c>
    </row>
    <row r="10" spans="1:9" ht="15" thickBot="1" x14ac:dyDescent="0.4">
      <c r="A10" t="s">
        <v>15</v>
      </c>
    </row>
    <row r="11" spans="1:9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5">
      <c r="A12" t="s">
        <v>16</v>
      </c>
      <c r="B12">
        <v>1</v>
      </c>
      <c r="C12">
        <v>0.5385164835164673</v>
      </c>
      <c r="D12">
        <v>0.5385164835164673</v>
      </c>
      <c r="E12">
        <v>9.5823908203304387E-2</v>
      </c>
      <c r="F12">
        <v>0.76268483726532732</v>
      </c>
    </row>
    <row r="13" spans="1:9" x14ac:dyDescent="0.35">
      <c r="A13" t="s">
        <v>17</v>
      </c>
      <c r="B13">
        <v>11</v>
      </c>
      <c r="C13">
        <v>61.818406593406593</v>
      </c>
      <c r="D13">
        <v>5.619855144855145</v>
      </c>
    </row>
    <row r="14" spans="1:9" ht="15" thickBot="1" x14ac:dyDescent="0.4">
      <c r="A14" s="1" t="s">
        <v>18</v>
      </c>
      <c r="B14" s="1">
        <v>12</v>
      </c>
      <c r="C14" s="1">
        <v>62.35692307692306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-97.113736263736314</v>
      </c>
      <c r="C17">
        <v>353.72959095745176</v>
      </c>
      <c r="D17">
        <v>-0.27454230221699943</v>
      </c>
      <c r="E17">
        <v>0.78875554179398599</v>
      </c>
      <c r="F17">
        <v>-875.66731664637302</v>
      </c>
      <c r="G17">
        <v>681.4398441189004</v>
      </c>
      <c r="H17">
        <v>-875.66731664637302</v>
      </c>
      <c r="I17">
        <v>681.4398441189004</v>
      </c>
    </row>
    <row r="18" spans="1:9" ht="15" thickBot="1" x14ac:dyDescent="0.4">
      <c r="A18" s="1" t="s">
        <v>0</v>
      </c>
      <c r="B18" s="1">
        <v>5.4395604395604424E-2</v>
      </c>
      <c r="C18" s="1">
        <v>0.17572229503319026</v>
      </c>
      <c r="D18" s="1">
        <v>0.30955437035084382</v>
      </c>
      <c r="E18" s="1">
        <v>0.76268483726532377</v>
      </c>
      <c r="F18" s="1">
        <v>-0.33236655926969194</v>
      </c>
      <c r="G18" s="1">
        <v>0.44115776806090079</v>
      </c>
      <c r="H18" s="1">
        <v>-0.33236655926969194</v>
      </c>
      <c r="I18" s="1">
        <v>0.44115776806090079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2" t="s">
        <v>33</v>
      </c>
      <c r="B24" s="2" t="s">
        <v>38</v>
      </c>
      <c r="C24" s="2" t="s">
        <v>35</v>
      </c>
    </row>
    <row r="25" spans="1:9" x14ac:dyDescent="0.35">
      <c r="A25">
        <v>1</v>
      </c>
      <c r="B25">
        <v>12.058241758241763</v>
      </c>
      <c r="C25">
        <v>-3.2582417582417627</v>
      </c>
    </row>
    <row r="26" spans="1:9" x14ac:dyDescent="0.35">
      <c r="A26">
        <v>2</v>
      </c>
      <c r="B26">
        <v>12.112637362637372</v>
      </c>
      <c r="C26">
        <v>-1.612637362637372</v>
      </c>
    </row>
    <row r="27" spans="1:9" x14ac:dyDescent="0.35">
      <c r="A27">
        <v>3</v>
      </c>
      <c r="B27">
        <v>12.167032967032981</v>
      </c>
      <c r="C27">
        <v>-1.067032967032981</v>
      </c>
    </row>
    <row r="28" spans="1:9" x14ac:dyDescent="0.35">
      <c r="A28">
        <v>4</v>
      </c>
      <c r="B28">
        <v>12.221428571428575</v>
      </c>
      <c r="C28">
        <v>1.1785714285714253</v>
      </c>
    </row>
    <row r="29" spans="1:9" x14ac:dyDescent="0.35">
      <c r="A29">
        <v>5</v>
      </c>
      <c r="B29">
        <v>12.275824175824184</v>
      </c>
      <c r="C29">
        <v>2.8241758241758159</v>
      </c>
    </row>
    <row r="30" spans="1:9" x14ac:dyDescent="0.35">
      <c r="A30">
        <v>6</v>
      </c>
      <c r="B30">
        <v>12.330219780219792</v>
      </c>
      <c r="C30">
        <v>2.569780219780208</v>
      </c>
    </row>
    <row r="31" spans="1:9" x14ac:dyDescent="0.35">
      <c r="A31">
        <v>7</v>
      </c>
      <c r="B31">
        <v>12.384615384615387</v>
      </c>
      <c r="C31">
        <v>2.5153846153846136</v>
      </c>
    </row>
    <row r="32" spans="1:9" x14ac:dyDescent="0.35">
      <c r="A32">
        <v>8</v>
      </c>
      <c r="B32">
        <v>12.439010989010995</v>
      </c>
      <c r="C32">
        <v>3.0609890109890046</v>
      </c>
    </row>
    <row r="33" spans="1:3" x14ac:dyDescent="0.35">
      <c r="A33">
        <v>9</v>
      </c>
      <c r="B33">
        <v>12.493406593406604</v>
      </c>
      <c r="C33">
        <v>-1.6934065934066034</v>
      </c>
    </row>
    <row r="34" spans="1:3" x14ac:dyDescent="0.35">
      <c r="A34">
        <v>10</v>
      </c>
      <c r="B34">
        <v>12.547802197802213</v>
      </c>
      <c r="C34">
        <v>-2.747802197802212</v>
      </c>
    </row>
    <row r="35" spans="1:3" x14ac:dyDescent="0.35">
      <c r="A35">
        <v>11</v>
      </c>
      <c r="B35">
        <v>12.602197802197807</v>
      </c>
      <c r="C35">
        <v>1.0978021978021921</v>
      </c>
    </row>
    <row r="36" spans="1:3" x14ac:dyDescent="0.35">
      <c r="A36">
        <v>12</v>
      </c>
      <c r="B36">
        <v>12.656593406593416</v>
      </c>
      <c r="C36">
        <v>-1.2565934065934155</v>
      </c>
    </row>
    <row r="37" spans="1:3" ht="15" thickBot="1" x14ac:dyDescent="0.4">
      <c r="A37" s="1">
        <v>13</v>
      </c>
      <c r="B37" s="1">
        <v>12.710989010989024</v>
      </c>
      <c r="C37" s="1">
        <v>-1.6109890109890248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C7DA-00C1-4F2F-BC6B-1450F6329BBB}">
  <dimension ref="A1:I37"/>
  <sheetViews>
    <sheetView workbookViewId="0">
      <selection sqref="A1:I37"/>
    </sheetView>
  </sheetViews>
  <sheetFormatPr defaultRowHeight="14.5" x14ac:dyDescent="0.35"/>
  <sheetData>
    <row r="1" spans="1:9" x14ac:dyDescent="0.35">
      <c r="A1" t="s">
        <v>8</v>
      </c>
    </row>
    <row r="2" spans="1:9" ht="15" thickBot="1" x14ac:dyDescent="0.4"/>
    <row r="3" spans="1:9" x14ac:dyDescent="0.35">
      <c r="A3" s="3" t="s">
        <v>9</v>
      </c>
      <c r="B3" s="3"/>
    </row>
    <row r="4" spans="1:9" x14ac:dyDescent="0.35">
      <c r="A4" t="s">
        <v>10</v>
      </c>
      <c r="B4">
        <v>1.155212025431787E-3</v>
      </c>
    </row>
    <row r="5" spans="1:9" x14ac:dyDescent="0.35">
      <c r="A5" t="s">
        <v>11</v>
      </c>
      <c r="B5">
        <v>1.3345148237022117E-6</v>
      </c>
    </row>
    <row r="6" spans="1:9" x14ac:dyDescent="0.35">
      <c r="A6" t="s">
        <v>12</v>
      </c>
      <c r="B6">
        <v>-9.0907635074737772E-2</v>
      </c>
    </row>
    <row r="7" spans="1:9" x14ac:dyDescent="0.35">
      <c r="A7" t="s">
        <v>13</v>
      </c>
      <c r="B7">
        <v>1.9346658801798486</v>
      </c>
    </row>
    <row r="8" spans="1:9" ht="15" thickBot="1" x14ac:dyDescent="0.4">
      <c r="A8" s="1" t="s">
        <v>14</v>
      </c>
      <c r="B8" s="1">
        <v>13</v>
      </c>
    </row>
    <row r="10" spans="1:9" ht="15" thickBot="1" x14ac:dyDescent="0.4">
      <c r="A10" t="s">
        <v>15</v>
      </c>
    </row>
    <row r="11" spans="1:9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5">
      <c r="A12" t="s">
        <v>16</v>
      </c>
      <c r="B12">
        <v>1</v>
      </c>
      <c r="C12">
        <v>5.4945054941413218E-5</v>
      </c>
      <c r="D12">
        <v>5.4945054941413218E-5</v>
      </c>
      <c r="E12">
        <v>1.4679682650978434E-5</v>
      </c>
      <c r="F12">
        <v>0.99701158869534989</v>
      </c>
    </row>
    <row r="13" spans="1:9" x14ac:dyDescent="0.35">
      <c r="A13" t="s">
        <v>17</v>
      </c>
      <c r="B13">
        <v>11</v>
      </c>
      <c r="C13">
        <v>41.172252747252756</v>
      </c>
      <c r="D13">
        <v>3.7429320679320686</v>
      </c>
    </row>
    <row r="14" spans="1:9" ht="15" thickBot="1" x14ac:dyDescent="0.4">
      <c r="A14" s="1" t="s">
        <v>18</v>
      </c>
      <c r="B14" s="1">
        <v>12</v>
      </c>
      <c r="C14" s="1">
        <v>41.172307692307697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15.747802197802336</v>
      </c>
      <c r="C17">
        <v>288.67874170286473</v>
      </c>
      <c r="D17">
        <v>5.4551305388505028E-2</v>
      </c>
      <c r="E17">
        <v>0.95747410788022802</v>
      </c>
      <c r="F17">
        <v>-619.62982432413014</v>
      </c>
      <c r="G17">
        <v>651.12542871973483</v>
      </c>
      <c r="H17">
        <v>-619.62982432413014</v>
      </c>
      <c r="I17">
        <v>651.12542871973483</v>
      </c>
    </row>
    <row r="18" spans="1:9" ht="15" thickBot="1" x14ac:dyDescent="0.4">
      <c r="A18" s="1" t="s">
        <v>0</v>
      </c>
      <c r="B18" s="1">
        <v>5.4945054945048028E-4</v>
      </c>
      <c r="C18" s="1">
        <v>0.14340697616508608</v>
      </c>
      <c r="D18" s="1">
        <v>3.8314073983260638E-3</v>
      </c>
      <c r="E18" s="1">
        <v>0.99701158869525119</v>
      </c>
      <c r="F18" s="1">
        <v>-0.31508717584351925</v>
      </c>
      <c r="G18" s="1">
        <v>0.31618607694242024</v>
      </c>
      <c r="H18" s="1">
        <v>-0.31508717584351925</v>
      </c>
      <c r="I18" s="1">
        <v>0.31618607694242024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2" t="s">
        <v>33</v>
      </c>
      <c r="B24" s="2" t="s">
        <v>39</v>
      </c>
      <c r="C24" s="2" t="s">
        <v>35</v>
      </c>
    </row>
    <row r="25" spans="1:9" x14ac:dyDescent="0.35">
      <c r="A25">
        <v>1</v>
      </c>
      <c r="B25">
        <v>16.850549450549451</v>
      </c>
      <c r="C25">
        <v>-2.2505494505494514</v>
      </c>
    </row>
    <row r="26" spans="1:9" x14ac:dyDescent="0.35">
      <c r="A26">
        <v>2</v>
      </c>
      <c r="B26">
        <v>16.851098901098901</v>
      </c>
      <c r="C26">
        <v>0.24890109890110068</v>
      </c>
    </row>
    <row r="27" spans="1:9" x14ac:dyDescent="0.35">
      <c r="A27">
        <v>3</v>
      </c>
      <c r="B27">
        <v>16.85164835164835</v>
      </c>
      <c r="C27">
        <v>-1.45164835164835</v>
      </c>
    </row>
    <row r="28" spans="1:9" x14ac:dyDescent="0.35">
      <c r="A28">
        <v>4</v>
      </c>
      <c r="B28">
        <v>16.8521978021978</v>
      </c>
      <c r="C28">
        <v>3.7478021978022014</v>
      </c>
    </row>
    <row r="29" spans="1:9" x14ac:dyDescent="0.35">
      <c r="A29">
        <v>5</v>
      </c>
      <c r="B29">
        <v>16.852747252747253</v>
      </c>
      <c r="C29">
        <v>1.347252747252746</v>
      </c>
    </row>
    <row r="30" spans="1:9" x14ac:dyDescent="0.35">
      <c r="A30">
        <v>6</v>
      </c>
      <c r="B30">
        <v>16.853296703296703</v>
      </c>
      <c r="C30">
        <v>0.44670329670329778</v>
      </c>
    </row>
    <row r="31" spans="1:9" x14ac:dyDescent="0.35">
      <c r="A31">
        <v>7</v>
      </c>
      <c r="B31">
        <v>16.853846153846153</v>
      </c>
      <c r="C31">
        <v>0.54615384615384599</v>
      </c>
    </row>
    <row r="32" spans="1:9" x14ac:dyDescent="0.35">
      <c r="A32">
        <v>8</v>
      </c>
      <c r="B32">
        <v>16.854395604395602</v>
      </c>
      <c r="C32">
        <v>1.0456043956043963</v>
      </c>
    </row>
    <row r="33" spans="1:3" x14ac:dyDescent="0.35">
      <c r="A33">
        <v>9</v>
      </c>
      <c r="B33">
        <v>16.854945054945055</v>
      </c>
      <c r="C33">
        <v>-3.2549450549450558</v>
      </c>
    </row>
    <row r="34" spans="1:3" x14ac:dyDescent="0.35">
      <c r="A34">
        <v>10</v>
      </c>
      <c r="B34">
        <v>16.855494505494505</v>
      </c>
      <c r="C34">
        <v>-2.1554945054945058</v>
      </c>
    </row>
    <row r="35" spans="1:3" x14ac:dyDescent="0.35">
      <c r="A35">
        <v>11</v>
      </c>
      <c r="B35">
        <v>16.856043956043955</v>
      </c>
      <c r="C35">
        <v>0.94395604395604593</v>
      </c>
    </row>
    <row r="36" spans="1:3" x14ac:dyDescent="0.35">
      <c r="A36">
        <v>12</v>
      </c>
      <c r="B36">
        <v>16.856593406593404</v>
      </c>
      <c r="C36">
        <v>0.24340659340659698</v>
      </c>
    </row>
    <row r="37" spans="1:3" ht="15" thickBot="1" x14ac:dyDescent="0.4">
      <c r="A37" s="1">
        <v>13</v>
      </c>
      <c r="B37" s="1">
        <v>16.857142857142858</v>
      </c>
      <c r="C37" s="1">
        <v>0.54285714285714093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2755-3FD7-4D36-A0E6-919DA0CC8AFF}">
  <dimension ref="A1:I37"/>
  <sheetViews>
    <sheetView workbookViewId="0">
      <selection sqref="A1:I37"/>
    </sheetView>
  </sheetViews>
  <sheetFormatPr defaultRowHeight="14.5" x14ac:dyDescent="0.35"/>
  <sheetData>
    <row r="1" spans="1:9" x14ac:dyDescent="0.35">
      <c r="A1" t="s">
        <v>8</v>
      </c>
    </row>
    <row r="2" spans="1:9" ht="15" thickBot="1" x14ac:dyDescent="0.4"/>
    <row r="3" spans="1:9" x14ac:dyDescent="0.35">
      <c r="A3" s="3" t="s">
        <v>9</v>
      </c>
      <c r="B3" s="3"/>
    </row>
    <row r="4" spans="1:9" x14ac:dyDescent="0.35">
      <c r="A4" t="s">
        <v>10</v>
      </c>
      <c r="B4">
        <v>0.78336708888605844</v>
      </c>
    </row>
    <row r="5" spans="1:9" x14ac:dyDescent="0.35">
      <c r="A5" t="s">
        <v>11</v>
      </c>
      <c r="B5">
        <v>0.6136639959498178</v>
      </c>
    </row>
    <row r="6" spans="1:9" x14ac:dyDescent="0.35">
      <c r="A6" t="s">
        <v>12</v>
      </c>
      <c r="B6">
        <v>0.57854254103616487</v>
      </c>
    </row>
    <row r="7" spans="1:9" x14ac:dyDescent="0.35">
      <c r="A7" t="s">
        <v>13</v>
      </c>
      <c r="B7">
        <v>1.4186498625691373</v>
      </c>
    </row>
    <row r="8" spans="1:9" ht="15" thickBot="1" x14ac:dyDescent="0.4">
      <c r="A8" s="1" t="s">
        <v>14</v>
      </c>
      <c r="B8" s="1">
        <v>13</v>
      </c>
    </row>
    <row r="10" spans="1:9" ht="15" thickBot="1" x14ac:dyDescent="0.4">
      <c r="A10" t="s">
        <v>15</v>
      </c>
    </row>
    <row r="11" spans="1:9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5">
      <c r="A12" t="s">
        <v>16</v>
      </c>
      <c r="B12">
        <v>1</v>
      </c>
      <c r="C12">
        <v>35.164835164835168</v>
      </c>
      <c r="D12">
        <v>35.164835164835168</v>
      </c>
      <c r="E12">
        <v>17.472624566907253</v>
      </c>
      <c r="F12">
        <v>1.5364831208558082E-3</v>
      </c>
    </row>
    <row r="13" spans="1:9" x14ac:dyDescent="0.35">
      <c r="A13" t="s">
        <v>17</v>
      </c>
      <c r="B13">
        <v>11</v>
      </c>
      <c r="C13">
        <v>22.138241758241751</v>
      </c>
      <c r="D13">
        <v>2.0125674325674319</v>
      </c>
    </row>
    <row r="14" spans="1:9" ht="15" thickBot="1" x14ac:dyDescent="0.4">
      <c r="A14" s="1" t="s">
        <v>18</v>
      </c>
      <c r="B14" s="1">
        <v>12</v>
      </c>
      <c r="C14" s="1">
        <v>57.303076923076915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-875.65824175824196</v>
      </c>
      <c r="C17">
        <v>211.68205912916076</v>
      </c>
      <c r="D17">
        <v>-4.1366672516349006</v>
      </c>
      <c r="E17">
        <v>1.6533430483295999E-3</v>
      </c>
      <c r="F17">
        <v>-1341.5673125591657</v>
      </c>
      <c r="G17">
        <v>-409.74917095731837</v>
      </c>
      <c r="H17">
        <v>-1341.5673125591657</v>
      </c>
      <c r="I17">
        <v>-409.74917095731837</v>
      </c>
    </row>
    <row r="18" spans="1:9" ht="15" thickBot="1" x14ac:dyDescent="0.4">
      <c r="A18" s="1" t="s">
        <v>0</v>
      </c>
      <c r="B18" s="1">
        <v>0.43956043956043966</v>
      </c>
      <c r="C18" s="1">
        <v>0.10515732412107381</v>
      </c>
      <c r="D18" s="1">
        <v>4.1800268619839347</v>
      </c>
      <c r="E18" s="1">
        <v>1.5364831208558053E-3</v>
      </c>
      <c r="F18" s="1">
        <v>0.20811072969500971</v>
      </c>
      <c r="G18" s="1">
        <v>0.67101014942586956</v>
      </c>
      <c r="H18" s="1">
        <v>0.20811072969500971</v>
      </c>
      <c r="I18" s="1">
        <v>0.67101014942586956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2" t="s">
        <v>33</v>
      </c>
      <c r="B24" s="2" t="s">
        <v>40</v>
      </c>
      <c r="C24" s="2" t="s">
        <v>35</v>
      </c>
    </row>
    <row r="25" spans="1:9" x14ac:dyDescent="0.35">
      <c r="A25">
        <v>1</v>
      </c>
      <c r="B25">
        <v>6.5395604395604323</v>
      </c>
      <c r="C25">
        <v>-1.139560439560432</v>
      </c>
    </row>
    <row r="26" spans="1:9" x14ac:dyDescent="0.35">
      <c r="A26">
        <v>2</v>
      </c>
      <c r="B26">
        <v>6.9791208791208419</v>
      </c>
      <c r="C26">
        <v>0.12087912087915775</v>
      </c>
    </row>
    <row r="27" spans="1:9" x14ac:dyDescent="0.35">
      <c r="A27">
        <v>3</v>
      </c>
      <c r="B27">
        <v>7.4186813186813652</v>
      </c>
      <c r="C27">
        <v>-0.81868131868136551</v>
      </c>
    </row>
    <row r="28" spans="1:9" x14ac:dyDescent="0.35">
      <c r="A28">
        <v>4</v>
      </c>
      <c r="B28">
        <v>7.8582417582417747</v>
      </c>
      <c r="C28">
        <v>-0.55824175824177491</v>
      </c>
    </row>
    <row r="29" spans="1:9" x14ac:dyDescent="0.35">
      <c r="A29">
        <v>5</v>
      </c>
      <c r="B29">
        <v>8.2978021978021843</v>
      </c>
      <c r="C29">
        <v>0.20219780219781569</v>
      </c>
    </row>
    <row r="30" spans="1:9" x14ac:dyDescent="0.35">
      <c r="A30">
        <v>6</v>
      </c>
      <c r="B30">
        <v>8.7373626373625939</v>
      </c>
      <c r="C30">
        <v>0.9626373626374054</v>
      </c>
    </row>
    <row r="31" spans="1:9" x14ac:dyDescent="0.35">
      <c r="A31">
        <v>7</v>
      </c>
      <c r="B31">
        <v>9.1769230769231172</v>
      </c>
      <c r="C31">
        <v>2.3230769230768828</v>
      </c>
    </row>
    <row r="32" spans="1:9" x14ac:dyDescent="0.35">
      <c r="A32">
        <v>8</v>
      </c>
      <c r="B32">
        <v>9.6164835164835267</v>
      </c>
      <c r="C32">
        <v>2.5835164835164726</v>
      </c>
    </row>
    <row r="33" spans="1:3" x14ac:dyDescent="0.35">
      <c r="A33">
        <v>9</v>
      </c>
      <c r="B33">
        <v>10.056043956043936</v>
      </c>
      <c r="C33">
        <v>-0.45604395604393666</v>
      </c>
    </row>
    <row r="34" spans="1:3" x14ac:dyDescent="0.35">
      <c r="A34">
        <v>10</v>
      </c>
      <c r="B34">
        <v>10.49560439560446</v>
      </c>
      <c r="C34">
        <v>-0.89560439560445992</v>
      </c>
    </row>
    <row r="35" spans="1:3" x14ac:dyDescent="0.35">
      <c r="A35">
        <v>11</v>
      </c>
      <c r="B35">
        <v>10.935164835164869</v>
      </c>
      <c r="C35">
        <v>-2.1351648351648684</v>
      </c>
    </row>
    <row r="36" spans="1:3" x14ac:dyDescent="0.35">
      <c r="A36">
        <v>12</v>
      </c>
      <c r="B36">
        <v>11.374725274725279</v>
      </c>
      <c r="C36">
        <v>-0.87472527472527872</v>
      </c>
    </row>
    <row r="37" spans="1:3" ht="15" thickBot="1" x14ac:dyDescent="0.4">
      <c r="A37" s="1">
        <v>13</v>
      </c>
      <c r="B37" s="1">
        <v>11.814285714285688</v>
      </c>
      <c r="C37" s="1">
        <v>0.6857142857143117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09D8-0181-47B0-B019-ED5E596F5C97}">
  <dimension ref="A1:I37"/>
  <sheetViews>
    <sheetView workbookViewId="0">
      <selection sqref="A1:I37"/>
    </sheetView>
  </sheetViews>
  <sheetFormatPr defaultRowHeight="14.5" x14ac:dyDescent="0.35"/>
  <sheetData>
    <row r="1" spans="1:9" x14ac:dyDescent="0.35">
      <c r="A1" t="s">
        <v>8</v>
      </c>
    </row>
    <row r="2" spans="1:9" ht="15" thickBot="1" x14ac:dyDescent="0.4"/>
    <row r="3" spans="1:9" x14ac:dyDescent="0.35">
      <c r="A3" s="3" t="s">
        <v>9</v>
      </c>
      <c r="B3" s="3"/>
    </row>
    <row r="4" spans="1:9" x14ac:dyDescent="0.35">
      <c r="A4" t="s">
        <v>10</v>
      </c>
      <c r="B4">
        <v>0.20929656112796582</v>
      </c>
    </row>
    <row r="5" spans="1:9" x14ac:dyDescent="0.35">
      <c r="A5" t="s">
        <v>11</v>
      </c>
      <c r="B5">
        <v>4.3805050499992337E-2</v>
      </c>
    </row>
    <row r="6" spans="1:9" x14ac:dyDescent="0.35">
      <c r="A6" t="s">
        <v>12</v>
      </c>
      <c r="B6">
        <v>-4.3121763090917448E-2</v>
      </c>
    </row>
    <row r="7" spans="1:9" x14ac:dyDescent="0.35">
      <c r="A7" t="s">
        <v>13</v>
      </c>
      <c r="B7">
        <v>3.3831722016258858</v>
      </c>
    </row>
    <row r="8" spans="1:9" ht="15" thickBot="1" x14ac:dyDescent="0.4">
      <c r="A8" s="1" t="s">
        <v>14</v>
      </c>
      <c r="B8" s="1">
        <v>13</v>
      </c>
    </row>
    <row r="10" spans="1:9" ht="15" thickBot="1" x14ac:dyDescent="0.4">
      <c r="A10" t="s">
        <v>15</v>
      </c>
    </row>
    <row r="11" spans="1:9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5">
      <c r="A12" t="s">
        <v>16</v>
      </c>
      <c r="B12">
        <v>1</v>
      </c>
      <c r="C12">
        <v>5.767912087912066</v>
      </c>
      <c r="D12">
        <v>5.767912087912066</v>
      </c>
      <c r="E12">
        <v>0.50393024534576025</v>
      </c>
      <c r="F12">
        <v>0.49255264428296897</v>
      </c>
    </row>
    <row r="13" spans="1:9" x14ac:dyDescent="0.35">
      <c r="A13" t="s">
        <v>17</v>
      </c>
      <c r="B13">
        <v>11</v>
      </c>
      <c r="C13">
        <v>125.90439560439557</v>
      </c>
      <c r="D13">
        <v>11.445854145854144</v>
      </c>
    </row>
    <row r="14" spans="1:9" ht="15" thickBot="1" x14ac:dyDescent="0.4">
      <c r="A14" s="1" t="s">
        <v>18</v>
      </c>
      <c r="B14" s="1">
        <v>12</v>
      </c>
      <c r="C14" s="1">
        <v>131.67230769230764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370.81208791208792</v>
      </c>
      <c r="C17">
        <v>504.81579487962074</v>
      </c>
      <c r="D17">
        <v>0.73454929832477289</v>
      </c>
      <c r="E17">
        <v>0.47798099857717724</v>
      </c>
      <c r="F17">
        <v>-740.27998519782182</v>
      </c>
      <c r="G17">
        <v>1481.9041610219977</v>
      </c>
      <c r="H17">
        <v>-740.27998519782182</v>
      </c>
      <c r="I17">
        <v>1481.9041610219977</v>
      </c>
    </row>
    <row r="18" spans="1:9" ht="15" thickBot="1" x14ac:dyDescent="0.4">
      <c r="A18" s="1" t="s">
        <v>0</v>
      </c>
      <c r="B18" s="1">
        <v>-0.17802197802197803</v>
      </c>
      <c r="C18" s="1">
        <v>0.25077740826020212</v>
      </c>
      <c r="D18" s="1">
        <v>-0.70988044440297282</v>
      </c>
      <c r="E18" s="1">
        <v>0.49255264428296808</v>
      </c>
      <c r="F18" s="1">
        <v>-0.72997933208892518</v>
      </c>
      <c r="G18" s="1">
        <v>0.37393537604496907</v>
      </c>
      <c r="H18" s="1">
        <v>-0.72997933208892518</v>
      </c>
      <c r="I18" s="1">
        <v>0.37393537604496907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2" t="s">
        <v>33</v>
      </c>
      <c r="B24" s="2" t="s">
        <v>41</v>
      </c>
      <c r="C24" s="2" t="s">
        <v>35</v>
      </c>
    </row>
    <row r="25" spans="1:9" x14ac:dyDescent="0.35">
      <c r="A25">
        <v>1</v>
      </c>
      <c r="B25">
        <v>13.521978021978043</v>
      </c>
      <c r="C25">
        <v>-4.5219780219780432</v>
      </c>
    </row>
    <row r="26" spans="1:9" x14ac:dyDescent="0.35">
      <c r="A26">
        <v>2</v>
      </c>
      <c r="B26">
        <v>13.343956043956041</v>
      </c>
      <c r="C26">
        <v>0.85604395604395833</v>
      </c>
    </row>
    <row r="27" spans="1:9" x14ac:dyDescent="0.35">
      <c r="A27">
        <v>3</v>
      </c>
      <c r="B27">
        <v>13.165934065934039</v>
      </c>
      <c r="C27">
        <v>-3.4659340659340394</v>
      </c>
    </row>
    <row r="28" spans="1:9" x14ac:dyDescent="0.35">
      <c r="A28">
        <v>4</v>
      </c>
      <c r="B28">
        <v>12.987912087912093</v>
      </c>
      <c r="C28">
        <v>-1.4879120879120933</v>
      </c>
    </row>
    <row r="29" spans="1:9" x14ac:dyDescent="0.35">
      <c r="A29">
        <v>5</v>
      </c>
      <c r="B29">
        <v>12.809890109890091</v>
      </c>
      <c r="C29">
        <v>4.5901098901099076</v>
      </c>
    </row>
    <row r="30" spans="1:9" x14ac:dyDescent="0.35">
      <c r="A30">
        <v>6</v>
      </c>
      <c r="B30">
        <v>12.631868131868146</v>
      </c>
      <c r="C30">
        <v>4.3681318681318544</v>
      </c>
    </row>
    <row r="31" spans="1:9" x14ac:dyDescent="0.35">
      <c r="A31">
        <v>7</v>
      </c>
      <c r="B31">
        <v>12.453846153846143</v>
      </c>
      <c r="C31">
        <v>3.3461538461538574</v>
      </c>
    </row>
    <row r="32" spans="1:9" x14ac:dyDescent="0.35">
      <c r="A32">
        <v>8</v>
      </c>
      <c r="B32">
        <v>12.275824175824198</v>
      </c>
      <c r="C32">
        <v>4.1241758241758006</v>
      </c>
    </row>
    <row r="33" spans="1:3" x14ac:dyDescent="0.35">
      <c r="A33">
        <v>9</v>
      </c>
      <c r="B33">
        <v>12.097802197802196</v>
      </c>
      <c r="C33">
        <v>0.50219780219780397</v>
      </c>
    </row>
    <row r="34" spans="1:3" x14ac:dyDescent="0.35">
      <c r="A34">
        <v>10</v>
      </c>
      <c r="B34">
        <v>11.919780219780193</v>
      </c>
      <c r="C34">
        <v>-3.3197802197801938</v>
      </c>
    </row>
    <row r="35" spans="1:3" x14ac:dyDescent="0.35">
      <c r="A35">
        <v>11</v>
      </c>
      <c r="B35">
        <v>11.741758241758248</v>
      </c>
      <c r="C35">
        <v>-2.9417582417582473</v>
      </c>
    </row>
    <row r="36" spans="1:3" x14ac:dyDescent="0.35">
      <c r="A36">
        <v>12</v>
      </c>
      <c r="B36">
        <v>11.563736263736246</v>
      </c>
      <c r="C36">
        <v>-1.263736263736245</v>
      </c>
    </row>
    <row r="37" spans="1:3" ht="15" thickBot="1" x14ac:dyDescent="0.4">
      <c r="A37" s="1">
        <v>13</v>
      </c>
      <c r="B37" s="1">
        <v>11.3857142857143</v>
      </c>
      <c r="C37" s="1">
        <v>-0.78571428571430069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C0F2-8821-4FEA-BAF1-BB35FC5EC83B}">
  <dimension ref="A1:I37"/>
  <sheetViews>
    <sheetView workbookViewId="0">
      <selection sqref="A1:I37"/>
    </sheetView>
  </sheetViews>
  <sheetFormatPr defaultRowHeight="14.5" x14ac:dyDescent="0.35"/>
  <sheetData>
    <row r="1" spans="1:9" x14ac:dyDescent="0.35">
      <c r="A1" t="s">
        <v>8</v>
      </c>
    </row>
    <row r="2" spans="1:9" ht="15" thickBot="1" x14ac:dyDescent="0.4"/>
    <row r="3" spans="1:9" x14ac:dyDescent="0.35">
      <c r="A3" s="3" t="s">
        <v>9</v>
      </c>
      <c r="B3" s="3"/>
    </row>
    <row r="4" spans="1:9" x14ac:dyDescent="0.35">
      <c r="A4" t="s">
        <v>10</v>
      </c>
      <c r="B4">
        <v>0.15057097770539032</v>
      </c>
    </row>
    <row r="5" spans="1:9" x14ac:dyDescent="0.35">
      <c r="A5" t="s">
        <v>11</v>
      </c>
      <c r="B5">
        <v>2.2671619327157153E-2</v>
      </c>
    </row>
    <row r="6" spans="1:9" x14ac:dyDescent="0.35">
      <c r="A6" t="s">
        <v>12</v>
      </c>
      <c r="B6">
        <v>-6.6176415279464926E-2</v>
      </c>
    </row>
    <row r="7" spans="1:9" x14ac:dyDescent="0.35">
      <c r="A7" t="s">
        <v>13</v>
      </c>
      <c r="B7">
        <v>392.23460519755963</v>
      </c>
    </row>
    <row r="8" spans="1:9" ht="15" thickBot="1" x14ac:dyDescent="0.4">
      <c r="A8" s="1" t="s">
        <v>14</v>
      </c>
      <c r="B8" s="1">
        <v>13</v>
      </c>
    </row>
    <row r="10" spans="1:9" ht="15" thickBot="1" x14ac:dyDescent="0.4">
      <c r="A10" t="s">
        <v>15</v>
      </c>
    </row>
    <row r="11" spans="1:9" x14ac:dyDescent="0.35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5">
      <c r="A12" t="s">
        <v>16</v>
      </c>
      <c r="B12">
        <v>1</v>
      </c>
      <c r="C12">
        <v>39257.851648351876</v>
      </c>
      <c r="D12">
        <v>39257.851648351876</v>
      </c>
      <c r="E12">
        <v>0.25517299766434426</v>
      </c>
      <c r="F12">
        <v>0.62342322640108561</v>
      </c>
    </row>
    <row r="13" spans="1:9" x14ac:dyDescent="0.35">
      <c r="A13" t="s">
        <v>17</v>
      </c>
      <c r="B13">
        <v>11</v>
      </c>
      <c r="C13">
        <v>1692327.8406593404</v>
      </c>
      <c r="D13">
        <v>153847.98551448548</v>
      </c>
    </row>
    <row r="14" spans="1:9" ht="15" thickBot="1" x14ac:dyDescent="0.4">
      <c r="A14" s="1" t="s">
        <v>18</v>
      </c>
      <c r="B14" s="1">
        <v>12</v>
      </c>
      <c r="C14" s="1">
        <v>1731585.6923076923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5">
      <c r="A17" t="s">
        <v>19</v>
      </c>
      <c r="B17">
        <v>-27531.401098901104</v>
      </c>
      <c r="C17">
        <v>58526.794440715254</v>
      </c>
      <c r="D17">
        <v>-0.47040678311519435</v>
      </c>
      <c r="E17">
        <v>0.64725367906011333</v>
      </c>
      <c r="F17">
        <v>-156348.00713064917</v>
      </c>
      <c r="G17">
        <v>101285.20493284697</v>
      </c>
      <c r="H17">
        <v>-156348.00713064917</v>
      </c>
      <c r="I17">
        <v>101285.20493284697</v>
      </c>
    </row>
    <row r="18" spans="1:9" ht="15" thickBot="1" x14ac:dyDescent="0.4">
      <c r="A18" s="1" t="s">
        <v>0</v>
      </c>
      <c r="B18" s="1">
        <v>14.68681318681319</v>
      </c>
      <c r="C18" s="1">
        <v>29.07436330735279</v>
      </c>
      <c r="D18" s="1">
        <v>0.50514651108796438</v>
      </c>
      <c r="E18" s="1">
        <v>0.62342322640108661</v>
      </c>
      <c r="F18" s="1">
        <v>-49.305428991783145</v>
      </c>
      <c r="G18" s="1">
        <v>78.679055365409525</v>
      </c>
      <c r="H18" s="1">
        <v>-49.305428991783145</v>
      </c>
      <c r="I18" s="1">
        <v>78.679055365409525</v>
      </c>
    </row>
    <row r="22" spans="1:9" x14ac:dyDescent="0.35">
      <c r="A22" t="s">
        <v>32</v>
      </c>
    </row>
    <row r="23" spans="1:9" ht="15" thickBot="1" x14ac:dyDescent="0.4"/>
    <row r="24" spans="1:9" x14ac:dyDescent="0.35">
      <c r="A24" s="2" t="s">
        <v>33</v>
      </c>
      <c r="B24" s="2" t="s">
        <v>34</v>
      </c>
      <c r="C24" s="2" t="s">
        <v>35</v>
      </c>
    </row>
    <row r="25" spans="1:9" x14ac:dyDescent="0.35">
      <c r="A25">
        <v>1</v>
      </c>
      <c r="B25">
        <v>1945.0329670329666</v>
      </c>
      <c r="C25">
        <v>-548.03296703296655</v>
      </c>
    </row>
    <row r="26" spans="1:9" x14ac:dyDescent="0.35">
      <c r="A26">
        <v>2</v>
      </c>
      <c r="B26">
        <v>1959.7197802197807</v>
      </c>
      <c r="C26">
        <v>-263.71978021978066</v>
      </c>
    </row>
    <row r="27" spans="1:9" x14ac:dyDescent="0.35">
      <c r="A27">
        <v>3</v>
      </c>
      <c r="B27">
        <v>1974.4065934065948</v>
      </c>
      <c r="C27">
        <v>-307.40659340659477</v>
      </c>
    </row>
    <row r="28" spans="1:9" x14ac:dyDescent="0.35">
      <c r="A28">
        <v>4</v>
      </c>
      <c r="B28">
        <v>1989.0934065934089</v>
      </c>
      <c r="C28">
        <v>219.90659340659113</v>
      </c>
    </row>
    <row r="29" spans="1:9" x14ac:dyDescent="0.35">
      <c r="A29">
        <v>5</v>
      </c>
      <c r="B29">
        <v>2003.7802197802193</v>
      </c>
      <c r="C29">
        <v>612.21978021978066</v>
      </c>
    </row>
    <row r="30" spans="1:9" x14ac:dyDescent="0.35">
      <c r="A30">
        <v>6</v>
      </c>
      <c r="B30">
        <v>2018.4670329670334</v>
      </c>
      <c r="C30">
        <v>446.53296703296655</v>
      </c>
    </row>
    <row r="31" spans="1:9" x14ac:dyDescent="0.35">
      <c r="A31">
        <v>7</v>
      </c>
      <c r="B31">
        <v>2033.1538461538476</v>
      </c>
      <c r="C31">
        <v>439.84615384615245</v>
      </c>
    </row>
    <row r="32" spans="1:9" x14ac:dyDescent="0.35">
      <c r="A32">
        <v>8</v>
      </c>
      <c r="B32">
        <v>2047.8406593406617</v>
      </c>
      <c r="C32">
        <v>408.15934065933834</v>
      </c>
    </row>
    <row r="33" spans="1:3" x14ac:dyDescent="0.35">
      <c r="A33">
        <v>9</v>
      </c>
      <c r="B33">
        <v>2062.5274725274721</v>
      </c>
      <c r="C33">
        <v>-260.52747252747213</v>
      </c>
    </row>
    <row r="34" spans="1:3" x14ac:dyDescent="0.35">
      <c r="A34">
        <v>10</v>
      </c>
      <c r="B34">
        <v>2077.2142857142862</v>
      </c>
      <c r="C34">
        <v>-281.21428571428623</v>
      </c>
    </row>
    <row r="35" spans="1:3" x14ac:dyDescent="0.35">
      <c r="A35">
        <v>11</v>
      </c>
      <c r="B35">
        <v>2091.9010989011003</v>
      </c>
      <c r="C35">
        <v>-27.90109890110034</v>
      </c>
    </row>
    <row r="36" spans="1:3" x14ac:dyDescent="0.35">
      <c r="A36">
        <v>12</v>
      </c>
      <c r="B36">
        <v>2106.5879120879144</v>
      </c>
      <c r="C36">
        <v>-189.58791208791445</v>
      </c>
    </row>
    <row r="37" spans="1:3" ht="15" thickBot="1" x14ac:dyDescent="0.4">
      <c r="A37" s="1">
        <v>13</v>
      </c>
      <c r="B37" s="1">
        <v>2121.2747252747249</v>
      </c>
      <c r="C37" s="1">
        <v>-248.27472527472491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Net revenue (1000 MUSD)</vt:lpstr>
      <vt:lpstr>industry</vt:lpstr>
      <vt:lpstr>coatings</vt:lpstr>
      <vt:lpstr>personal_care</vt:lpstr>
      <vt:lpstr>pharma</vt:lpstr>
      <vt:lpstr>crop_protection</vt:lpstr>
      <vt:lpstr>fertilizer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Fermín Coloma</dc:creator>
  <cp:lastModifiedBy>Fermín Coloma</cp:lastModifiedBy>
  <dcterms:created xsi:type="dcterms:W3CDTF">2025-12-02T22:49:36Z</dcterms:created>
  <dcterms:modified xsi:type="dcterms:W3CDTF">2025-12-03T13:57:27Z</dcterms:modified>
</cp:coreProperties>
</file>